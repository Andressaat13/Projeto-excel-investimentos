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ssa Clara\Downloads\"/>
    </mc:Choice>
  </mc:AlternateContent>
  <xr:revisionPtr revIDLastSave="0" documentId="8_{61A8FCD4-BC02-4E71-B48D-823569EADE77}" xr6:coauthVersionLast="47" xr6:coauthVersionMax="47" xr10:uidLastSave="{00000000-0000-0000-0000-000000000000}"/>
  <bookViews>
    <workbookView xWindow="-108" yWindow="-108" windowWidth="23256" windowHeight="12456" xr2:uid="{72AACBF5-9AE1-4C8F-AB9C-C4B20FD9D3E9}"/>
  </bookViews>
  <sheets>
    <sheet name="planilha" sheetId="1" r:id="rId1"/>
    <sheet name="Planilha1" sheetId="2" r:id="rId2"/>
  </sheets>
  <definedNames>
    <definedName name="Aporte">planilha!$C$14</definedName>
    <definedName name="patrimonio">planilha!$C$17</definedName>
    <definedName name="quantidade_anos">planilha!$C$15</definedName>
    <definedName name="Rendimento_Carteira">planilha!$C$10</definedName>
    <definedName name="salario">planilha!$C$9</definedName>
    <definedName name="sugestoes">planilha!$C$11</definedName>
    <definedName name="Taxa_mensal">planilha!$C$16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2" l="1"/>
  <c r="C21" i="1"/>
  <c r="D21" i="1" s="1"/>
  <c r="C17" i="1"/>
  <c r="C18" i="1" s="1"/>
  <c r="C11" i="1"/>
  <c r="C22" i="1"/>
  <c r="D22" i="1" s="1"/>
  <c r="C23" i="1"/>
  <c r="D23" i="1" s="1"/>
  <c r="C24" i="1"/>
  <c r="D24" i="1" s="1"/>
  <c r="C25" i="1"/>
  <c r="D25" i="1" s="1"/>
</calcChain>
</file>

<file path=xl/sharedStrings.xml><?xml version="1.0" encoding="utf-8"?>
<sst xmlns="http://schemas.openxmlformats.org/spreadsheetml/2006/main" count="19" uniqueCount="19">
  <si>
    <t>Por quanto anos ?</t>
  </si>
  <si>
    <t>Taxa e rendimento mensal ?</t>
  </si>
  <si>
    <t>Quanto investir por mês ?</t>
  </si>
  <si>
    <t>Patrimônio acumulado ?</t>
  </si>
  <si>
    <t>Dividendo</t>
  </si>
  <si>
    <t>Salário</t>
  </si>
  <si>
    <t>Sugestões de investimento</t>
  </si>
  <si>
    <t>Rendimento Carteira</t>
  </si>
  <si>
    <r>
      <t xml:space="preserve">Investimentos </t>
    </r>
    <r>
      <rPr>
        <b/>
        <u/>
        <sz val="12"/>
        <color theme="1"/>
        <rFont val="Aptos"/>
        <family val="2"/>
      </rPr>
      <t>Mensais</t>
    </r>
    <r>
      <rPr>
        <b/>
        <sz val="12"/>
        <color theme="1"/>
        <rFont val="Aptos"/>
        <family val="2"/>
      </rPr>
      <t>?</t>
    </r>
  </si>
  <si>
    <t>CONFIGURAÇÕES</t>
  </si>
  <si>
    <t>INVESTIMENTO MENSAL</t>
  </si>
  <si>
    <t>CENÁRIOS</t>
  </si>
  <si>
    <t>Quanto renderia em 2 Anos?</t>
  </si>
  <si>
    <t>Quanto renderia em 5 Anos?</t>
  </si>
  <si>
    <t>Quanto renderia em 10 Anos?</t>
  </si>
  <si>
    <t>Quanto renderia em 20 Anos?</t>
  </si>
  <si>
    <t>Quanto renderia em  Anos?</t>
  </si>
  <si>
    <t>%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</si>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</sst>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indexed="64"/>
      </bottom>
      <diagonal/>
    </border>
  </borders>
  <cellStyleXfs count="3">
    <xf numFmtId="0" fontId="0" fillId="0" borderId="0"/>
    <xf numFmtId="0" fontId="10" fillId="6" borderId="0" applyNumberFormat="0" applyBorder="0" applyAlignment="0" applyProtection="0"/>
    <xf numFmtId="9" fontId="12" fillId="0" borderId="0" applyFont="0" applyFill="0" applyBorder="0" applyAlignment="0" applyProtection="0"/>
  </cellStyleXfs>
  <cellXfs count="54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3" fillId="2" borderId="3" xfId="0" applyFont="1" applyFill="1" applyBorder="1"/>
    <xf numFmtId="0" fontId="1" fillId="0" borderId="0" xfId="0" applyFont="1"/>
    <xf numFmtId="0" fontId="0" fillId="4" borderId="0" xfId="0" applyFill="1"/>
    <xf numFmtId="164" fontId="0" fillId="0" borderId="0" xfId="0" applyNumberFormat="1"/>
    <xf numFmtId="164" fontId="6" fillId="0" borderId="6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8" fontId="6" fillId="3" borderId="8" xfId="0" applyNumberFormat="1" applyFont="1" applyFill="1" applyBorder="1" applyAlignment="1">
      <alignment horizontal="center"/>
    </xf>
    <xf numFmtId="8" fontId="6" fillId="3" borderId="10" xfId="0" applyNumberFormat="1" applyFont="1" applyFill="1" applyBorder="1" applyAlignment="1">
      <alignment horizontal="center"/>
    </xf>
    <xf numFmtId="164" fontId="9" fillId="0" borderId="18" xfId="0" applyNumberFormat="1" applyFont="1" applyBorder="1" applyAlignment="1">
      <alignment horizontal="left"/>
    </xf>
    <xf numFmtId="10" fontId="9" fillId="0" borderId="12" xfId="0" applyNumberFormat="1" applyFont="1" applyBorder="1" applyAlignment="1">
      <alignment horizontal="left"/>
    </xf>
    <xf numFmtId="164" fontId="9" fillId="0" borderId="14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20" xfId="0" applyFont="1" applyFill="1" applyBorder="1"/>
    <xf numFmtId="0" fontId="5" fillId="2" borderId="3" xfId="0" applyFont="1" applyFill="1" applyBorder="1"/>
    <xf numFmtId="0" fontId="9" fillId="3" borderId="17" xfId="0" applyFont="1" applyFill="1" applyBorder="1" applyAlignment="1">
      <alignment horizontal="left" indent="2"/>
    </xf>
    <xf numFmtId="0" fontId="9" fillId="3" borderId="11" xfId="0" applyFont="1" applyFill="1" applyBorder="1" applyAlignment="1">
      <alignment horizontal="left" indent="2"/>
    </xf>
    <xf numFmtId="0" fontId="9" fillId="3" borderId="13" xfId="0" applyFont="1" applyFill="1" applyBorder="1" applyAlignment="1">
      <alignment horizontal="left" indent="2"/>
    </xf>
    <xf numFmtId="0" fontId="2" fillId="0" borderId="19" xfId="0" applyFont="1" applyBorder="1" applyAlignment="1">
      <alignment horizontal="left" vertical="center" indent="2"/>
    </xf>
    <xf numFmtId="0" fontId="2" fillId="0" borderId="7" xfId="0" applyFont="1" applyBorder="1" applyAlignment="1">
      <alignment horizontal="left" vertical="center" indent="2"/>
    </xf>
    <xf numFmtId="0" fontId="7" fillId="3" borderId="7" xfId="0" applyFont="1" applyFill="1" applyBorder="1" applyAlignment="1">
      <alignment horizontal="left" vertical="center" indent="2"/>
    </xf>
    <xf numFmtId="0" fontId="7" fillId="3" borderId="9" xfId="0" applyFont="1" applyFill="1" applyBorder="1" applyAlignment="1">
      <alignment horizontal="left" indent="2"/>
    </xf>
    <xf numFmtId="0" fontId="9" fillId="4" borderId="0" xfId="0" applyFont="1" applyFill="1" applyAlignment="1">
      <alignment horizontal="left" indent="2"/>
    </xf>
    <xf numFmtId="8" fontId="9" fillId="4" borderId="0" xfId="0" applyNumberFormat="1" applyFont="1" applyFill="1" applyAlignment="1">
      <alignment horizontal="left"/>
    </xf>
    <xf numFmtId="0" fontId="10" fillId="6" borderId="0" xfId="1"/>
    <xf numFmtId="0" fontId="9" fillId="7" borderId="21" xfId="0" applyFont="1" applyFill="1" applyBorder="1" applyAlignment="1">
      <alignment horizontal="left" indent="2"/>
    </xf>
    <xf numFmtId="8" fontId="9" fillId="7" borderId="15" xfId="0" applyNumberFormat="1" applyFont="1" applyFill="1" applyBorder="1" applyAlignment="1">
      <alignment horizontal="left"/>
    </xf>
    <xf numFmtId="8" fontId="9" fillId="7" borderId="4" xfId="0" applyNumberFormat="1" applyFont="1" applyFill="1" applyBorder="1" applyAlignment="1">
      <alignment horizontal="left"/>
    </xf>
    <xf numFmtId="0" fontId="9" fillId="7" borderId="22" xfId="0" applyFont="1" applyFill="1" applyBorder="1" applyAlignment="1">
      <alignment horizontal="left" indent="2"/>
    </xf>
    <xf numFmtId="8" fontId="9" fillId="7" borderId="16" xfId="0" applyNumberFormat="1" applyFont="1" applyFill="1" applyBorder="1" applyAlignment="1">
      <alignment horizontal="left"/>
    </xf>
    <xf numFmtId="0" fontId="9" fillId="7" borderId="23" xfId="0" applyFont="1" applyFill="1" applyBorder="1" applyAlignment="1">
      <alignment horizontal="left" indent="2"/>
    </xf>
    <xf numFmtId="8" fontId="9" fillId="7" borderId="24" xfId="0" applyNumberFormat="1" applyFont="1" applyFill="1" applyBorder="1" applyAlignment="1">
      <alignment horizontal="left"/>
    </xf>
    <xf numFmtId="8" fontId="9" fillId="7" borderId="5" xfId="0" applyNumberFormat="1" applyFont="1" applyFill="1" applyBorder="1" applyAlignment="1">
      <alignment horizontal="left"/>
    </xf>
    <xf numFmtId="9" fontId="0" fillId="4" borderId="0" xfId="0" applyNumberFormat="1" applyFill="1" applyAlignment="1">
      <alignment horizontal="center"/>
    </xf>
    <xf numFmtId="9" fontId="0" fillId="0" borderId="0" xfId="2" applyFo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0" fillId="4" borderId="0" xfId="1" applyFill="1"/>
    <xf numFmtId="0" fontId="11" fillId="0" borderId="0" xfId="0" applyFont="1"/>
    <xf numFmtId="9" fontId="0" fillId="0" borderId="0" xfId="2" applyFont="1" applyAlignment="1">
      <alignment vertical="center"/>
    </xf>
    <xf numFmtId="9" fontId="0" fillId="0" borderId="0" xfId="2" applyNumberFormat="1" applyFont="1" applyAlignment="1">
      <alignment vertical="center"/>
    </xf>
    <xf numFmtId="9" fontId="0" fillId="0" borderId="0" xfId="2" applyNumberFormat="1" applyFont="1" applyFill="1" applyBorder="1" applyAlignment="1">
      <alignment vertical="center"/>
    </xf>
    <xf numFmtId="9" fontId="10" fillId="6" borderId="0" xfId="2" applyFont="1" applyFill="1"/>
    <xf numFmtId="0" fontId="11" fillId="4" borderId="0" xfId="0" applyFont="1" applyFill="1"/>
    <xf numFmtId="164" fontId="11" fillId="4" borderId="0" xfId="0" applyNumberFormat="1" applyFont="1" applyFill="1"/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/>
    <xf numFmtId="0" fontId="0" fillId="0" borderId="0" xfId="0" applyBorder="1"/>
    <xf numFmtId="9" fontId="0" fillId="0" borderId="0" xfId="2" applyNumberFormat="1" applyFont="1" applyBorder="1" applyAlignment="1">
      <alignment vertical="center"/>
    </xf>
    <xf numFmtId="0" fontId="0" fillId="4" borderId="0" xfId="0" applyFill="1" applyBorder="1"/>
  </cellXfs>
  <cellStyles count="3">
    <cellStyle name="Neutro" xfId="1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3CD29"/>
      <color rgb="FF5466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53341</xdr:rowOff>
    </xdr:from>
    <xdr:to>
      <xdr:col>16384</xdr:col>
      <xdr:colOff>403860</xdr:colOff>
      <xdr:row>6</xdr:row>
      <xdr:rowOff>137160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EE39358-381A-40B6-A18A-C9BDC27AC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434340" y="53341"/>
          <a:ext cx="6103620" cy="11810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C74A-06B6-43B1-9A66-23C74C6DCD9B}">
  <sheetPr codeName="Planilha1">
    <tabColor theme="9"/>
  </sheetPr>
  <dimension ref="A7:XFC54"/>
  <sheetViews>
    <sheetView showGridLines="0" tabSelected="1" workbookViewId="0">
      <selection activeCell="XFD1" sqref="XFD1"/>
    </sheetView>
  </sheetViews>
  <sheetFormatPr defaultColWidth="8.88671875" defaultRowHeight="14.4" x14ac:dyDescent="0.3"/>
  <cols>
    <col min="1" max="1" width="6.33203125" customWidth="1"/>
    <col min="2" max="2" width="30.88671875" bestFit="1" customWidth="1"/>
    <col min="3" max="3" width="24.5546875" customWidth="1"/>
    <col min="4" max="4" width="13.44140625" bestFit="1" customWidth="1"/>
    <col min="5" max="6" width="0.109375" hidden="1" customWidth="1"/>
    <col min="7" max="7" width="1.21875" hidden="1" customWidth="1"/>
    <col min="8" max="10" width="8.88671875" hidden="1" customWidth="1"/>
    <col min="11" max="11" width="0.21875" hidden="1" customWidth="1"/>
    <col min="12" max="16381" width="8.88671875" hidden="1" customWidth="1"/>
    <col min="16382" max="16382" width="8.109375" hidden="1" customWidth="1"/>
    <col min="16383" max="16383" width="7.88671875" hidden="1" customWidth="1"/>
    <col min="16384" max="16384" width="18.6640625" customWidth="1"/>
  </cols>
  <sheetData>
    <row r="7" spans="1:5" ht="15" thickBot="1" x14ac:dyDescent="0.35">
      <c r="C7" s="2"/>
    </row>
    <row r="8" spans="1:5" ht="21" x14ac:dyDescent="0.3">
      <c r="B8" s="39" t="s">
        <v>9</v>
      </c>
      <c r="C8" s="40"/>
    </row>
    <row r="9" spans="1:5" ht="16.2" thickBot="1" x14ac:dyDescent="0.35">
      <c r="B9" s="19" t="s">
        <v>5</v>
      </c>
      <c r="C9" s="12">
        <v>5000</v>
      </c>
    </row>
    <row r="10" spans="1:5" ht="16.2" thickBot="1" x14ac:dyDescent="0.35">
      <c r="B10" s="20" t="s">
        <v>7</v>
      </c>
      <c r="C10" s="13">
        <v>6.0000000000000001E-3</v>
      </c>
    </row>
    <row r="11" spans="1:5" ht="16.2" thickBot="1" x14ac:dyDescent="0.35">
      <c r="B11" s="21" t="s">
        <v>6</v>
      </c>
      <c r="C11" s="14">
        <f>C9*30%</f>
        <v>1500</v>
      </c>
    </row>
    <row r="12" spans="1:5" ht="15" thickBot="1" x14ac:dyDescent="0.35">
      <c r="C12" s="2"/>
    </row>
    <row r="13" spans="1:5" ht="26.4" thickBot="1" x14ac:dyDescent="0.55000000000000004">
      <c r="A13" s="1"/>
      <c r="B13" s="15" t="s">
        <v>10</v>
      </c>
      <c r="C13" s="3"/>
      <c r="E13" s="6"/>
    </row>
    <row r="14" spans="1:5" ht="24" customHeight="1" thickBot="1" x14ac:dyDescent="0.35">
      <c r="B14" s="22" t="s">
        <v>2</v>
      </c>
      <c r="C14" s="7">
        <v>500</v>
      </c>
    </row>
    <row r="15" spans="1:5" ht="16.2" thickBot="1" x14ac:dyDescent="0.35">
      <c r="B15" s="23" t="s">
        <v>0</v>
      </c>
      <c r="C15" s="8">
        <v>5</v>
      </c>
    </row>
    <row r="16" spans="1:5" ht="16.2" thickBot="1" x14ac:dyDescent="0.35">
      <c r="B16" s="23" t="s">
        <v>1</v>
      </c>
      <c r="C16" s="9">
        <v>1.0789999999999999E-2</v>
      </c>
    </row>
    <row r="17" spans="1:4" ht="16.2" thickBot="1" x14ac:dyDescent="0.35">
      <c r="B17" s="24" t="s">
        <v>3</v>
      </c>
      <c r="C17" s="10">
        <f>FV(Taxa_mensal,quantidade_anos*12,-Aporte)</f>
        <v>41888.456999243819</v>
      </c>
    </row>
    <row r="18" spans="1:4" ht="16.2" thickBot="1" x14ac:dyDescent="0.35">
      <c r="B18" s="25" t="s">
        <v>8</v>
      </c>
      <c r="C18" s="11">
        <f>patrimonio*Rendimento_Carteira</f>
        <v>251.33074199546292</v>
      </c>
    </row>
    <row r="19" spans="1:4" ht="15" thickBot="1" x14ac:dyDescent="0.35"/>
    <row r="20" spans="1:4" ht="21" x14ac:dyDescent="0.4">
      <c r="B20" s="16" t="s">
        <v>11</v>
      </c>
      <c r="C20" s="17"/>
      <c r="D20" s="18" t="s">
        <v>4</v>
      </c>
    </row>
    <row r="21" spans="1:4" ht="16.2" thickBot="1" x14ac:dyDescent="0.35">
      <c r="B21" s="29" t="s">
        <v>12</v>
      </c>
      <c r="C21" s="30">
        <f>FV($C$16,$A22*12,-$C$14)</f>
        <v>13613.813648822608</v>
      </c>
      <c r="D21" s="31">
        <f>C21*Rendimento_Carteira</f>
        <v>81.682881892935654</v>
      </c>
    </row>
    <row r="22" spans="1:4" ht="16.2" thickBot="1" x14ac:dyDescent="0.35">
      <c r="A22" s="4">
        <v>2</v>
      </c>
      <c r="B22" s="32" t="s">
        <v>13</v>
      </c>
      <c r="C22" s="33">
        <f>FV($C$16,$A23*12,-$C$14)</f>
        <v>41888.456999243819</v>
      </c>
      <c r="D22" s="31">
        <f>C22*Rendimento_Carteira</f>
        <v>251.33074199546292</v>
      </c>
    </row>
    <row r="23" spans="1:4" ht="16.2" thickBot="1" x14ac:dyDescent="0.35">
      <c r="A23" s="4">
        <v>5</v>
      </c>
      <c r="B23" s="32" t="s">
        <v>14</v>
      </c>
      <c r="C23" s="33">
        <f>FV($C$16,$A24*12,-$C$14)</f>
        <v>121642.1062650861</v>
      </c>
      <c r="D23" s="31">
        <f>C23*Rendimento_Carteira</f>
        <v>729.85263759051657</v>
      </c>
    </row>
    <row r="24" spans="1:4" ht="16.2" thickBot="1" x14ac:dyDescent="0.35">
      <c r="A24" s="4">
        <v>10</v>
      </c>
      <c r="B24" s="32" t="s">
        <v>15</v>
      </c>
      <c r="C24" s="33">
        <f>FV($C$16,$A25*12,-$C$14)</f>
        <v>562599.20004854025</v>
      </c>
      <c r="D24" s="31">
        <f>C24*Rendimento_Carteira</f>
        <v>3375.5952002912418</v>
      </c>
    </row>
    <row r="25" spans="1:4" ht="16.2" thickBot="1" x14ac:dyDescent="0.35">
      <c r="A25" s="4">
        <v>20</v>
      </c>
      <c r="B25" s="34" t="s">
        <v>16</v>
      </c>
      <c r="C25" s="35">
        <f>FV($C$16,$A27*12,-$C$14)</f>
        <v>2161084.8275023573</v>
      </c>
      <c r="D25" s="36">
        <f>C25*Rendimento_Carteira</f>
        <v>12966.508965014144</v>
      </c>
    </row>
    <row r="26" spans="1:4" ht="15.6" x14ac:dyDescent="0.3">
      <c r="A26" s="4"/>
      <c r="B26" s="26"/>
      <c r="C26" s="27"/>
      <c r="D26" s="27"/>
    </row>
    <row r="27" spans="1:4" x14ac:dyDescent="0.3">
      <c r="A27" s="4">
        <v>30</v>
      </c>
    </row>
    <row r="28" spans="1:4" s="5" customFormat="1" x14ac:dyDescent="0.3">
      <c r="A28"/>
      <c r="B28" s="41"/>
      <c r="C28" s="41"/>
      <c r="D28" s="41"/>
    </row>
    <row r="29" spans="1:4" s="5" customFormat="1" x14ac:dyDescent="0.3">
      <c r="A29"/>
      <c r="B29" s="47"/>
      <c r="C29" s="48"/>
      <c r="D29" s="47"/>
    </row>
    <row r="30" spans="1:4" s="5" customFormat="1" x14ac:dyDescent="0.3">
      <c r="A30"/>
    </row>
    <row r="31" spans="1:4" s="5" customFormat="1" x14ac:dyDescent="0.3">
      <c r="A31"/>
      <c r="B31" s="47"/>
      <c r="C31" s="47"/>
      <c r="D31" s="47"/>
    </row>
    <row r="32" spans="1:4" s="5" customFormat="1" x14ac:dyDescent="0.3">
      <c r="A32"/>
      <c r="C32" s="37"/>
      <c r="D32" s="49"/>
    </row>
    <row r="33" spans="1:4" s="5" customFormat="1" x14ac:dyDescent="0.3">
      <c r="A33"/>
      <c r="C33" s="37"/>
      <c r="D33" s="49"/>
    </row>
    <row r="34" spans="1:4" s="5" customFormat="1" x14ac:dyDescent="0.3">
      <c r="A34"/>
      <c r="C34" s="37"/>
      <c r="D34" s="49"/>
    </row>
    <row r="35" spans="1:4" s="5" customFormat="1" x14ac:dyDescent="0.3">
      <c r="A35"/>
      <c r="C35" s="37"/>
      <c r="D35" s="49"/>
    </row>
    <row r="36" spans="1:4" s="5" customFormat="1" x14ac:dyDescent="0.3">
      <c r="A36"/>
      <c r="C36" s="37"/>
      <c r="D36" s="49"/>
    </row>
    <row r="37" spans="1:4" s="5" customFormat="1" x14ac:dyDescent="0.3">
      <c r="A37"/>
      <c r="C37" s="37"/>
      <c r="D37" s="49"/>
    </row>
    <row r="38" spans="1:4" s="5" customFormat="1" x14ac:dyDescent="0.3">
      <c r="A38"/>
      <c r="D38" s="50"/>
    </row>
    <row r="39" spans="1:4" s="5" customFormat="1" x14ac:dyDescent="0.3">
      <c r="A39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</sheetData>
  <mergeCells count="1">
    <mergeCell ref="B8:C8"/>
  </mergeCells>
  <dataValidations count="1">
    <dataValidation type="list" allowBlank="1" showInputMessage="1" showErrorMessage="1" sqref="C28" xr:uid="{6BDC137F-C982-4DA1-B546-1B21157AC91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EF08-1706-4853-8B4E-3DE07CABD5B3}">
  <sheetPr codeName="Planilha2"/>
  <dimension ref="A4:H24"/>
  <sheetViews>
    <sheetView topLeftCell="A4" workbookViewId="0">
      <selection activeCell="A6" sqref="A6:D24"/>
    </sheetView>
  </sheetViews>
  <sheetFormatPr defaultRowHeight="14.4" x14ac:dyDescent="0.3"/>
  <cols>
    <col min="1" max="1" width="26" bestFit="1" customWidth="1"/>
    <col min="2" max="2" width="11.21875" bestFit="1" customWidth="1"/>
    <col min="3" max="3" width="14.77734375" bestFit="1" customWidth="1"/>
    <col min="4" max="4" width="8.88671875" customWidth="1"/>
    <col min="5" max="5" width="14.109375" customWidth="1"/>
    <col min="7" max="7" width="16" customWidth="1"/>
  </cols>
  <sheetData>
    <row r="4" spans="1:8" x14ac:dyDescent="0.3">
      <c r="A4" s="2"/>
      <c r="B4" s="2"/>
      <c r="C4" s="2"/>
      <c r="D4" s="2"/>
      <c r="E4" s="2"/>
    </row>
    <row r="5" spans="1:8" x14ac:dyDescent="0.3">
      <c r="D5" s="38"/>
      <c r="H5" t="s">
        <v>17</v>
      </c>
    </row>
    <row r="6" spans="1:8" x14ac:dyDescent="0.3">
      <c r="C6" s="42"/>
      <c r="E6" s="38"/>
      <c r="G6" s="28" t="s">
        <v>18</v>
      </c>
      <c r="H6" s="46" t="e">
        <f>VLOOKUP(G6,A:D,4,FALSE)</f>
        <v>#N/A</v>
      </c>
    </row>
    <row r="7" spans="1:8" x14ac:dyDescent="0.3">
      <c r="C7" s="5"/>
      <c r="D7" s="43"/>
      <c r="E7" s="38"/>
    </row>
    <row r="8" spans="1:8" x14ac:dyDescent="0.3">
      <c r="D8" s="44"/>
      <c r="E8" s="38"/>
    </row>
    <row r="9" spans="1:8" x14ac:dyDescent="0.3">
      <c r="D9" s="44"/>
      <c r="E9" s="38"/>
    </row>
    <row r="10" spans="1:8" x14ac:dyDescent="0.3">
      <c r="D10" s="44"/>
      <c r="E10" s="38"/>
    </row>
    <row r="11" spans="1:8" x14ac:dyDescent="0.3">
      <c r="D11" s="44"/>
    </row>
    <row r="12" spans="1:8" x14ac:dyDescent="0.3">
      <c r="A12" s="51"/>
      <c r="B12" s="51"/>
      <c r="C12" s="51"/>
      <c r="D12" s="52"/>
    </row>
    <row r="13" spans="1:8" x14ac:dyDescent="0.3">
      <c r="A13" s="51"/>
      <c r="B13" s="51"/>
      <c r="C13" s="53"/>
      <c r="D13" s="45"/>
    </row>
    <row r="14" spans="1:8" x14ac:dyDescent="0.3">
      <c r="D14" s="45"/>
    </row>
    <row r="15" spans="1:8" x14ac:dyDescent="0.3">
      <c r="D15" s="44"/>
    </row>
    <row r="16" spans="1:8" x14ac:dyDescent="0.3">
      <c r="D16" s="44"/>
    </row>
    <row r="17" spans="1:5" x14ac:dyDescent="0.3">
      <c r="D17" s="44"/>
    </row>
    <row r="18" spans="1:5" x14ac:dyDescent="0.3">
      <c r="A18" s="51"/>
      <c r="B18" s="51"/>
      <c r="C18" s="51"/>
      <c r="D18" s="52"/>
      <c r="E18" s="51"/>
    </row>
    <row r="19" spans="1:5" x14ac:dyDescent="0.3">
      <c r="C19" s="5"/>
      <c r="D19" s="44"/>
    </row>
    <row r="20" spans="1:5" x14ac:dyDescent="0.3">
      <c r="D20" s="44"/>
    </row>
    <row r="21" spans="1:5" x14ac:dyDescent="0.3">
      <c r="D21" s="44"/>
    </row>
    <row r="22" spans="1:5" x14ac:dyDescent="0.3">
      <c r="D22" s="44"/>
    </row>
    <row r="23" spans="1:5" x14ac:dyDescent="0.3">
      <c r="D23" s="44"/>
    </row>
    <row r="24" spans="1:5" x14ac:dyDescent="0.3">
      <c r="D24" s="4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</vt:lpstr>
      <vt:lpstr>Planilha1</vt:lpstr>
      <vt:lpstr>Aporte</vt:lpstr>
      <vt:lpstr>patrimonio</vt:lpstr>
      <vt:lpstr>quantidade_anos</vt:lpstr>
      <vt:lpstr>Rendimento_Carteira</vt:lpstr>
      <vt:lpstr>salario</vt:lpstr>
      <vt:lpstr>sugestoes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Andressa torres</dc:creator>
  <cp:lastModifiedBy>Andressa torres</cp:lastModifiedBy>
  <dcterms:created xsi:type="dcterms:W3CDTF">2026-09-14T17:58:39Z</dcterms:created>
  <dcterms:modified xsi:type="dcterms:W3CDTF">2026-09-22T12:11:42Z</dcterms:modified>
</cp:coreProperties>
</file>